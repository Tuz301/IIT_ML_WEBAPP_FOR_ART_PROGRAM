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ya Coconut Coated Peanut 13g" sheetId="1" r:id="rId4"/>
    <sheet state="visible" name="Catya Sachet Peanut Butter 22.5" sheetId="2" r:id="rId5"/>
    <sheet state="visible" name="Catya Classic Peanut Butter 465" sheetId="3" r:id="rId6"/>
    <sheet state="visible" name="Catya Chocolate Peanut Butter 1" sheetId="4" r:id="rId7"/>
    <sheet state="visible" name="Catya Chocolate Peanut Butter 4" sheetId="5" r:id="rId8"/>
  </sheets>
  <definedNames/>
  <calcPr/>
</workbook>
</file>

<file path=xl/sharedStrings.xml><?xml version="1.0" encoding="utf-8"?>
<sst xmlns="http://schemas.openxmlformats.org/spreadsheetml/2006/main" count="128" uniqueCount="24">
  <si>
    <t>Catya Coconut Coated Peanut 13g (78 sachets per pack)</t>
  </si>
  <si>
    <t>Key Raw Material (N/Kg)</t>
  </si>
  <si>
    <t>Qty Invoiced (packs)</t>
  </si>
  <si>
    <t>Total (₦)</t>
  </si>
  <si>
    <t>Average Pack Price</t>
  </si>
  <si>
    <t>Average Sachet Price</t>
  </si>
  <si>
    <t>Raw Peanuts</t>
  </si>
  <si>
    <t>Total</t>
  </si>
  <si>
    <t>Abuja Sales Team</t>
  </si>
  <si>
    <t>Kano Sales Team</t>
  </si>
  <si>
    <t>Ibadan / Akure Sales Team</t>
  </si>
  <si>
    <t>Port Harcourt Sales Team</t>
  </si>
  <si>
    <t>Head Office Team (Factory)</t>
  </si>
  <si>
    <t>Qty Ordered</t>
  </si>
  <si>
    <t>Catya Sachet Peanut Butter 22.5g (120 sachets per pack)</t>
  </si>
  <si>
    <t>Qty Invoiced</t>
  </si>
  <si>
    <t xml:space="preserve"> </t>
  </si>
  <si>
    <t>Catya Classic Peanut Butter 465g (12 jars per pack)</t>
  </si>
  <si>
    <t>Average Jar Price</t>
  </si>
  <si>
    <t>Ibadan Sales Team</t>
  </si>
  <si>
    <t>Lagos Sales Team</t>
  </si>
  <si>
    <t>Head Office Team</t>
  </si>
  <si>
    <t>Catya Chocolate Peanut Butter 185g (12 jars per pack)</t>
  </si>
  <si>
    <t>Catya Chocolate Peanut Butter 465g (12 jars per pack)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</si>
</sst>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$₦]#,##0"/>
  </numFmts>
  <fonts count="6">
    <font>
      <sz val="10.0"/>
      <color rgb="FF000000"/>
      <name val="Arial"/>
      <scheme val="minor"/>
    </font>
    <font>
      <b/>
      <sz val="15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AAAAA"/>
        <bgColor rgb="FFAAAAAA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2" fontId="2" numFmtId="164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5" numFmtId="165" xfId="0" applyFont="1" applyNumberFormat="1"/>
    <xf borderId="0" fillId="0" fontId="5" numFmtId="0" xfId="0" applyAlignment="1" applyFont="1">
      <alignment readingOrder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4" numFmtId="165" xfId="0" applyFont="1" applyNumberFormat="1"/>
    <xf borderId="0" fillId="0" fontId="4" numFmtId="2" xfId="0" applyFont="1" applyNumberFormat="1"/>
    <xf borderId="0" fillId="2" fontId="3" numFmtId="0" xfId="0" applyAlignment="1" applyFont="1">
      <alignment shrinkToFit="0" vertical="bottom" wrapText="0"/>
    </xf>
    <xf borderId="0" fillId="0" fontId="4" numFmtId="0" xfId="0" applyFont="1"/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3" numFmtId="1" xfId="0" applyAlignment="1" applyFont="1" applyNumberFormat="1">
      <alignment horizontal="right" readingOrder="0" shrinkToFit="0" vertical="bottom" wrapText="0"/>
    </xf>
    <xf borderId="0" fillId="2" fontId="3" numFmtId="165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2" fontId="3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5" numFmtId="0" xfId="0" applyFont="1"/>
    <xf borderId="0" fillId="0" fontId="3" numFmtId="2" xfId="0" applyAlignment="1" applyFont="1" applyNumberFormat="1">
      <alignment horizontal="right"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164" xfId="0" applyAlignment="1" applyFont="1" applyNumberFormat="1">
      <alignment shrinkToFit="0" vertical="bottom" wrapText="0"/>
    </xf>
    <xf borderId="0" fillId="2" fontId="3" numFmtId="165" xfId="0" applyAlignment="1" applyFont="1" applyNumberFormat="1">
      <alignment readingOrder="0" shrinkToFit="0" vertical="bottom" wrapText="0"/>
    </xf>
    <xf borderId="0" fillId="0" fontId="2" numFmtId="2" xfId="0" applyAlignment="1" applyFont="1" applyNumberFormat="1">
      <alignment horizontal="right" readingOrder="0" shrinkToFit="0" vertical="bottom" wrapText="0"/>
    </xf>
    <xf borderId="0" fillId="0" fontId="2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'Catya Coconut Coated Peanut 13g'!$A$4:$A$12</c:f>
            </c:strRef>
          </c:cat>
          <c:val>
            <c:numRef>
              <c:f>'Catya Coconut Coated Peanut 13g'!$C$4:$C$12</c:f>
              <c:numCache/>
            </c:numRef>
          </c:val>
        </c:ser>
        <c:axId val="457938410"/>
        <c:axId val="1174014562"/>
      </c:barChart>
      <c:catAx>
        <c:axId val="457938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014562"/>
      </c:catAx>
      <c:valAx>
        <c:axId val="1174014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938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'Catya Sachet Peanut Butter 22.5'!$I$11:$I$13</c:f>
            </c:strRef>
          </c:cat>
          <c:val>
            <c:numRef>
              <c:f>'Catya Sachet Peanut Butter 22.5'!$J$11:$J$13</c:f>
              <c:numCache/>
            </c:numRef>
          </c:val>
        </c:ser>
        <c:ser>
          <c:idx val="1"/>
          <c:order val="1"/>
          <c:cat>
            <c:strRef>
              <c:f>'Catya Sachet Peanut Butter 22.5'!$I$11:$I$13</c:f>
            </c:strRef>
          </c:cat>
          <c:val>
            <c:numRef>
              <c:f>'Catya Sachet Peanut Butter 22.5'!$C$4:$C$12</c:f>
              <c:numCache/>
            </c:numRef>
          </c:val>
        </c:ser>
        <c:axId val="762383006"/>
        <c:axId val="901056700"/>
      </c:barChart>
      <c:catAx>
        <c:axId val="762383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056700"/>
      </c:catAx>
      <c:valAx>
        <c:axId val="901056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383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'Catya Classic Peanut Butter 465'!$A$4:$A$12</c:f>
            </c:strRef>
          </c:cat>
          <c:val>
            <c:numRef>
              <c:f>'Catya Classic Peanut Butter 465'!$C$4:$C$12</c:f>
              <c:numCache/>
            </c:numRef>
          </c:val>
        </c:ser>
        <c:axId val="871090804"/>
        <c:axId val="1342890236"/>
      </c:barChart>
      <c:catAx>
        <c:axId val="871090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890236"/>
      </c:catAx>
      <c:valAx>
        <c:axId val="1342890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090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'Catya Chocolate Peanut Butter 1'!$A$4:$A$12</c:f>
            </c:strRef>
          </c:cat>
          <c:val>
            <c:numRef>
              <c:f>'Catya Chocolate Peanut Butter 1'!$C$4:$C$12</c:f>
              <c:numCache/>
            </c:numRef>
          </c:val>
        </c:ser>
        <c:axId val="1784196488"/>
        <c:axId val="1894783950"/>
      </c:barChart>
      <c:catAx>
        <c:axId val="1784196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783950"/>
      </c:catAx>
      <c:valAx>
        <c:axId val="1894783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196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'Catya Chocolate Peanut Butter 4'!$A$4:$A$12</c:f>
            </c:strRef>
          </c:cat>
          <c:val>
            <c:numRef>
              <c:f>'Catya Chocolate Peanut Butter 4'!$C$4:$C$12</c:f>
              <c:numCache/>
            </c:numRef>
          </c:val>
        </c:ser>
        <c:axId val="849486525"/>
        <c:axId val="761690443"/>
      </c:barChart>
      <c:catAx>
        <c:axId val="849486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690443"/>
      </c:catAx>
      <c:valAx>
        <c:axId val="761690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486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0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895350</xdr:colOff>
      <xdr:row>0</xdr:row>
      <xdr:rowOff>247650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1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0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904875</xdr:colOff>
      <xdr:row>0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4" max="4" width="17.0"/>
    <col customWidth="1" min="5" max="5" width="17.13"/>
    <col customWidth="1" min="7" max="7" width="15.38"/>
  </cols>
  <sheetData>
    <row r="1">
      <c r="A1" s="1" t="s">
        <v>0</v>
      </c>
    </row>
    <row r="2">
      <c r="A2" s="2"/>
      <c r="B2" s="3"/>
      <c r="C2" s="4"/>
      <c r="D2" s="5"/>
      <c r="E2" s="5"/>
      <c r="G2" s="6" t="s">
        <v>1</v>
      </c>
    </row>
    <row r="3">
      <c r="A3" s="7"/>
      <c r="B3" s="8" t="s">
        <v>2</v>
      </c>
      <c r="C3" s="9" t="s">
        <v>3</v>
      </c>
      <c r="D3" s="9" t="s">
        <v>4</v>
      </c>
      <c r="E3" s="9" t="s">
        <v>5</v>
      </c>
      <c r="G3" s="10" t="s">
        <v>6</v>
      </c>
    </row>
    <row r="4">
      <c r="A4" s="11">
        <v>45748.0</v>
      </c>
      <c r="B4" s="12">
        <v>3376.0</v>
      </c>
      <c r="C4" s="13">
        <v>1.08032E7</v>
      </c>
      <c r="D4" s="14">
        <f t="shared" ref="D4:D12" si="1">C4/B4</f>
        <v>3200</v>
      </c>
      <c r="E4" s="14">
        <f t="shared" ref="E4:E12" si="2">D4/78</f>
        <v>41.02564103</v>
      </c>
      <c r="G4" s="15">
        <v>1720.0</v>
      </c>
    </row>
    <row r="5">
      <c r="A5" s="11">
        <v>45778.0</v>
      </c>
      <c r="B5" s="12">
        <v>4793.0</v>
      </c>
      <c r="C5" s="13">
        <v>1.528755E7</v>
      </c>
      <c r="D5" s="14">
        <f t="shared" si="1"/>
        <v>3189.557688</v>
      </c>
      <c r="E5" s="14">
        <f t="shared" si="2"/>
        <v>40.89176523</v>
      </c>
      <c r="G5" s="15">
        <v>1720.0</v>
      </c>
    </row>
    <row r="6">
      <c r="A6" s="11">
        <v>45809.0</v>
      </c>
      <c r="B6" s="12">
        <v>11020.0</v>
      </c>
      <c r="C6" s="13">
        <v>3.52163E7</v>
      </c>
      <c r="D6" s="14">
        <f t="shared" si="1"/>
        <v>3195.671506</v>
      </c>
      <c r="E6" s="14">
        <f t="shared" si="2"/>
        <v>40.97014752</v>
      </c>
      <c r="G6" s="15">
        <v>1745.0</v>
      </c>
    </row>
    <row r="7">
      <c r="A7" s="11">
        <v>45839.0</v>
      </c>
      <c r="B7" s="12">
        <v>22568.0</v>
      </c>
      <c r="C7" s="13">
        <v>7.23178E7</v>
      </c>
      <c r="D7" s="14">
        <f t="shared" si="1"/>
        <v>3204.439915</v>
      </c>
      <c r="E7" s="14">
        <f t="shared" si="2"/>
        <v>41.08256301</v>
      </c>
      <c r="G7" s="15">
        <v>1750.0</v>
      </c>
    </row>
    <row r="8">
      <c r="A8" s="11">
        <v>45870.0</v>
      </c>
      <c r="B8" s="12">
        <v>15754.0</v>
      </c>
      <c r="C8" s="13">
        <v>5.04128E7</v>
      </c>
      <c r="D8" s="14">
        <f t="shared" si="1"/>
        <v>3200</v>
      </c>
      <c r="E8" s="14">
        <f t="shared" si="2"/>
        <v>41.02564103</v>
      </c>
      <c r="G8" s="15">
        <v>1670.0</v>
      </c>
    </row>
    <row r="9">
      <c r="A9" s="11">
        <v>45901.0</v>
      </c>
      <c r="B9" s="12">
        <v>6900.0</v>
      </c>
      <c r="C9" s="13">
        <v>2.208E7</v>
      </c>
      <c r="D9" s="14">
        <f t="shared" si="1"/>
        <v>3200</v>
      </c>
      <c r="E9" s="14">
        <f t="shared" si="2"/>
        <v>41.02564103</v>
      </c>
      <c r="G9" s="15">
        <v>1067.0</v>
      </c>
    </row>
    <row r="10">
      <c r="A10" s="11">
        <v>45931.0</v>
      </c>
      <c r="B10" s="12">
        <v>6240.0</v>
      </c>
      <c r="C10" s="13">
        <v>1.9968E7</v>
      </c>
      <c r="D10" s="14">
        <f t="shared" si="1"/>
        <v>3200</v>
      </c>
      <c r="E10" s="14">
        <f t="shared" si="2"/>
        <v>41.02564103</v>
      </c>
      <c r="G10" s="15">
        <v>1187.0</v>
      </c>
    </row>
    <row r="11">
      <c r="A11" s="11">
        <v>45962.0</v>
      </c>
      <c r="B11" s="12">
        <v>8993.0</v>
      </c>
      <c r="C11" s="13">
        <v>2.802E7</v>
      </c>
      <c r="D11" s="14">
        <f t="shared" si="1"/>
        <v>3115.7567</v>
      </c>
      <c r="E11" s="14">
        <f t="shared" si="2"/>
        <v>39.94559871</v>
      </c>
      <c r="G11" s="15">
        <v>1220.0</v>
      </c>
    </row>
    <row r="12">
      <c r="A12" s="11">
        <v>45992.0</v>
      </c>
      <c r="B12" s="12">
        <v>210.0</v>
      </c>
      <c r="C12" s="13">
        <v>630000.0</v>
      </c>
      <c r="D12" s="14">
        <f t="shared" si="1"/>
        <v>3000</v>
      </c>
      <c r="E12" s="14">
        <f t="shared" si="2"/>
        <v>38.46153846</v>
      </c>
      <c r="G12" s="15">
        <v>1239.0</v>
      </c>
    </row>
    <row r="13">
      <c r="A13" s="8" t="s">
        <v>7</v>
      </c>
      <c r="B13" s="16">
        <v>79854.0</v>
      </c>
      <c r="C13" s="17">
        <v>2.5473565E8</v>
      </c>
      <c r="D13" s="18">
        <f t="shared" ref="D13:E13" si="3">AVERAGE(D4:D12)</f>
        <v>3167.269534</v>
      </c>
      <c r="E13" s="18">
        <f t="shared" si="3"/>
        <v>40.60601967</v>
      </c>
      <c r="G13" s="19">
        <f>AVERAGE(G4:G12)</f>
        <v>1479.777778</v>
      </c>
    </row>
    <row r="20">
      <c r="A20" s="20"/>
      <c r="B20" s="8" t="s">
        <v>8</v>
      </c>
      <c r="C20" s="20"/>
      <c r="D20" s="8" t="s">
        <v>9</v>
      </c>
      <c r="E20" s="20"/>
      <c r="F20" s="8" t="s">
        <v>10</v>
      </c>
      <c r="G20" s="20"/>
      <c r="H20" s="8" t="s">
        <v>11</v>
      </c>
      <c r="J20" s="8" t="s">
        <v>12</v>
      </c>
      <c r="K20" s="20"/>
      <c r="L20" s="20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0"/>
      <c r="B21" s="8" t="s">
        <v>13</v>
      </c>
      <c r="C21" s="8" t="s">
        <v>3</v>
      </c>
      <c r="D21" s="8" t="s">
        <v>13</v>
      </c>
      <c r="E21" s="8" t="s">
        <v>3</v>
      </c>
      <c r="F21" s="8" t="s">
        <v>13</v>
      </c>
      <c r="G21" s="8" t="s">
        <v>3</v>
      </c>
      <c r="H21" s="8" t="s">
        <v>13</v>
      </c>
      <c r="I21" s="8" t="s">
        <v>3</v>
      </c>
      <c r="J21" s="8" t="s">
        <v>13</v>
      </c>
      <c r="K21" s="8" t="s">
        <v>3</v>
      </c>
      <c r="L21" s="8" t="s">
        <v>13</v>
      </c>
      <c r="M21" s="8" t="s">
        <v>3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1">
        <v>45748.0</v>
      </c>
      <c r="B22" s="22">
        <v>718.0</v>
      </c>
      <c r="C22" s="13">
        <v>2297600.0</v>
      </c>
      <c r="D22" s="22">
        <v>158.0</v>
      </c>
      <c r="E22" s="13">
        <v>505600.0</v>
      </c>
      <c r="F22" s="22">
        <v>2500.0</v>
      </c>
      <c r="G22" s="13">
        <v>8000000.0</v>
      </c>
      <c r="H22" s="23"/>
      <c r="I22" s="24"/>
      <c r="J22" s="23"/>
      <c r="K22" s="24"/>
      <c r="L22" s="25">
        <v>3376.0</v>
      </c>
      <c r="M22" s="17">
        <v>1.08032E7</v>
      </c>
    </row>
    <row r="23">
      <c r="A23" s="11">
        <v>45778.0</v>
      </c>
      <c r="B23" s="22">
        <v>2642.0</v>
      </c>
      <c r="C23" s="13">
        <v>8358400.0</v>
      </c>
      <c r="D23" s="22">
        <v>1430.0</v>
      </c>
      <c r="E23" s="13">
        <v>4576000.0</v>
      </c>
      <c r="F23" s="22">
        <v>500.0</v>
      </c>
      <c r="G23" s="13">
        <v>1650000.0</v>
      </c>
      <c r="H23" s="22">
        <v>70.0</v>
      </c>
      <c r="I23" s="13">
        <v>213150.0</v>
      </c>
      <c r="J23" s="22">
        <v>151.0</v>
      </c>
      <c r="K23" s="13">
        <v>490000.0</v>
      </c>
      <c r="L23" s="25">
        <v>4793.0</v>
      </c>
      <c r="M23" s="17">
        <v>1.528755E7</v>
      </c>
    </row>
    <row r="24">
      <c r="A24" s="11">
        <v>45809.0</v>
      </c>
      <c r="B24" s="22">
        <v>6430.0</v>
      </c>
      <c r="C24" s="13">
        <v>2.05344E7</v>
      </c>
      <c r="D24" s="22">
        <v>1915.0</v>
      </c>
      <c r="E24" s="13">
        <v>6128000.0</v>
      </c>
      <c r="F24" s="22">
        <v>100.0</v>
      </c>
      <c r="G24" s="13">
        <v>320000.0</v>
      </c>
      <c r="H24" s="23"/>
      <c r="I24" s="24"/>
      <c r="J24" s="22">
        <v>2575.0</v>
      </c>
      <c r="K24" s="13">
        <v>8233900.0</v>
      </c>
      <c r="L24" s="25">
        <v>11020.0</v>
      </c>
      <c r="M24" s="17">
        <v>3.52163E7</v>
      </c>
    </row>
    <row r="25">
      <c r="A25" s="11">
        <v>45839.0</v>
      </c>
      <c r="B25" s="22">
        <v>5221.0</v>
      </c>
      <c r="C25" s="13">
        <v>1.67074E7</v>
      </c>
      <c r="D25" s="22">
        <v>2894.0</v>
      </c>
      <c r="E25" s="13">
        <v>9260800.0</v>
      </c>
      <c r="F25" s="22">
        <v>3000.0</v>
      </c>
      <c r="G25" s="13">
        <v>9700000.0</v>
      </c>
      <c r="H25" s="23"/>
      <c r="I25" s="24"/>
      <c r="J25" s="22">
        <v>11453.0</v>
      </c>
      <c r="K25" s="13">
        <v>3.66496E7</v>
      </c>
      <c r="L25" s="25">
        <v>22568.0</v>
      </c>
      <c r="M25" s="17">
        <v>7.23178E7</v>
      </c>
    </row>
    <row r="26">
      <c r="A26" s="11">
        <v>45870.0</v>
      </c>
      <c r="B26" s="22">
        <v>1604.0</v>
      </c>
      <c r="C26" s="13">
        <v>5132800.0</v>
      </c>
      <c r="D26" s="22">
        <v>3520.0</v>
      </c>
      <c r="E26" s="13">
        <v>1.1264E7</v>
      </c>
      <c r="F26" s="23"/>
      <c r="G26" s="24"/>
      <c r="H26" s="23"/>
      <c r="I26" s="24"/>
      <c r="J26" s="22">
        <v>10630.0</v>
      </c>
      <c r="K26" s="13">
        <v>3.4016E7</v>
      </c>
      <c r="L26" s="25">
        <v>15754.0</v>
      </c>
      <c r="M26" s="17">
        <v>5.04128E7</v>
      </c>
    </row>
    <row r="27">
      <c r="A27" s="11">
        <v>45901.0</v>
      </c>
      <c r="B27" s="22">
        <v>2400.0</v>
      </c>
      <c r="C27" s="13">
        <v>7680000.0</v>
      </c>
      <c r="D27" s="22">
        <v>1700.0</v>
      </c>
      <c r="E27" s="13">
        <v>5440000.0</v>
      </c>
      <c r="F27" s="22">
        <v>600.0</v>
      </c>
      <c r="G27" s="13">
        <v>1920000.0</v>
      </c>
      <c r="H27" s="23"/>
      <c r="I27" s="24"/>
      <c r="J27" s="22">
        <v>2200.0</v>
      </c>
      <c r="K27" s="13">
        <v>7040000.0</v>
      </c>
      <c r="L27" s="25">
        <v>6900.0</v>
      </c>
      <c r="M27" s="17">
        <v>2.208E7</v>
      </c>
    </row>
    <row r="28">
      <c r="A28" s="11">
        <v>45931.0</v>
      </c>
      <c r="B28" s="22">
        <v>2440.0</v>
      </c>
      <c r="C28" s="13">
        <v>7808000.0</v>
      </c>
      <c r="D28" s="23"/>
      <c r="E28" s="24"/>
      <c r="F28" s="22">
        <v>600.0</v>
      </c>
      <c r="G28" s="13">
        <v>1920000.0</v>
      </c>
      <c r="H28" s="23"/>
      <c r="I28" s="24"/>
      <c r="J28" s="22">
        <v>3200.0</v>
      </c>
      <c r="K28" s="13">
        <v>1.024E7</v>
      </c>
      <c r="L28" s="25">
        <v>6240.0</v>
      </c>
      <c r="M28" s="17">
        <v>1.9968E7</v>
      </c>
    </row>
    <row r="29">
      <c r="A29" s="11">
        <v>45962.0</v>
      </c>
      <c r="B29" s="22">
        <v>5987.0</v>
      </c>
      <c r="C29" s="13">
        <v>1.87E7</v>
      </c>
      <c r="D29" s="23"/>
      <c r="E29" s="24"/>
      <c r="F29" s="23"/>
      <c r="G29" s="24"/>
      <c r="H29" s="22">
        <v>406.0</v>
      </c>
      <c r="I29" s="13">
        <v>1200000.0</v>
      </c>
      <c r="J29" s="22">
        <v>2600.0</v>
      </c>
      <c r="K29" s="13">
        <v>8120000.0</v>
      </c>
      <c r="L29" s="25">
        <v>8993.0</v>
      </c>
      <c r="M29" s="17">
        <v>2.802E7</v>
      </c>
    </row>
    <row r="30">
      <c r="A30" s="11">
        <v>45992.0</v>
      </c>
      <c r="B30" s="22">
        <v>130.0</v>
      </c>
      <c r="C30" s="13">
        <v>390000.0</v>
      </c>
      <c r="D30" s="23"/>
      <c r="E30" s="24"/>
      <c r="F30" s="23"/>
      <c r="G30" s="24"/>
      <c r="H30" s="22">
        <v>80.0</v>
      </c>
      <c r="I30" s="13">
        <v>240000.0</v>
      </c>
      <c r="J30" s="23"/>
      <c r="K30" s="24"/>
      <c r="L30" s="25">
        <v>210.0</v>
      </c>
      <c r="M30" s="17">
        <v>630000.0</v>
      </c>
    </row>
    <row r="31">
      <c r="A31" s="26" t="s">
        <v>7</v>
      </c>
      <c r="B31" s="27">
        <v>27572.0</v>
      </c>
      <c r="C31" s="28">
        <v>8.76086E7</v>
      </c>
      <c r="D31" s="27">
        <v>11617.0</v>
      </c>
      <c r="E31" s="28">
        <v>3.71744E7</v>
      </c>
      <c r="F31" s="27">
        <v>7300.0</v>
      </c>
      <c r="G31" s="28">
        <v>2.351E7</v>
      </c>
      <c r="H31" s="27">
        <v>556.0</v>
      </c>
      <c r="I31" s="28">
        <v>1653150.0</v>
      </c>
      <c r="J31" s="27">
        <v>32809.0</v>
      </c>
      <c r="K31" s="28">
        <v>1.047895E8</v>
      </c>
      <c r="L31" s="27">
        <v>79854.0</v>
      </c>
      <c r="M31" s="28">
        <v>2.5473565E8</v>
      </c>
    </row>
  </sheetData>
  <mergeCells count="2">
    <mergeCell ref="A1:E1"/>
    <mergeCell ref="H20:I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75"/>
    <col customWidth="1" min="4" max="4" width="18.0"/>
    <col customWidth="1" min="5" max="5" width="17.38"/>
  </cols>
  <sheetData>
    <row r="1">
      <c r="A1" s="1" t="s">
        <v>14</v>
      </c>
    </row>
    <row r="2">
      <c r="A2" s="2"/>
      <c r="B2" s="3"/>
      <c r="C2" s="3"/>
      <c r="D2" s="5"/>
      <c r="E2" s="5"/>
      <c r="G2" s="6" t="s">
        <v>1</v>
      </c>
    </row>
    <row r="3">
      <c r="A3" s="7"/>
      <c r="B3" s="8" t="s">
        <v>2</v>
      </c>
      <c r="C3" s="8" t="s">
        <v>7</v>
      </c>
      <c r="D3" s="9" t="s">
        <v>4</v>
      </c>
      <c r="E3" s="9" t="s">
        <v>5</v>
      </c>
      <c r="G3" s="10" t="s">
        <v>6</v>
      </c>
    </row>
    <row r="4">
      <c r="A4" s="11">
        <v>45748.0</v>
      </c>
      <c r="B4" s="29">
        <v>1250.416667</v>
      </c>
      <c r="C4" s="13">
        <v>1.103818332E7</v>
      </c>
      <c r="D4" s="14">
        <f t="shared" ref="D4:D12" si="1">C4/B4</f>
        <v>8827.604119</v>
      </c>
      <c r="E4" s="14">
        <f t="shared" ref="E4:E12" si="2">D4/120</f>
        <v>73.56336766</v>
      </c>
      <c r="G4" s="30">
        <v>1720.0</v>
      </c>
    </row>
    <row r="5">
      <c r="A5" s="11">
        <v>45778.0</v>
      </c>
      <c r="B5" s="29">
        <v>1780.0</v>
      </c>
      <c r="C5" s="13">
        <v>1.5734E7</v>
      </c>
      <c r="D5" s="14">
        <f t="shared" si="1"/>
        <v>8839.325843</v>
      </c>
      <c r="E5" s="14">
        <f t="shared" si="2"/>
        <v>73.66104869</v>
      </c>
      <c r="G5" s="30">
        <v>1720.0</v>
      </c>
    </row>
    <row r="6">
      <c r="A6" s="11">
        <v>45809.0</v>
      </c>
      <c r="B6" s="29">
        <v>5133.0</v>
      </c>
      <c r="C6" s="13">
        <v>4.599E7</v>
      </c>
      <c r="D6" s="14">
        <f t="shared" si="1"/>
        <v>8959.672706</v>
      </c>
      <c r="E6" s="14">
        <f t="shared" si="2"/>
        <v>74.66393922</v>
      </c>
      <c r="G6" s="30">
        <v>1745.0</v>
      </c>
    </row>
    <row r="7">
      <c r="A7" s="11">
        <v>45839.0</v>
      </c>
      <c r="B7" s="29">
        <v>9246.2</v>
      </c>
      <c r="C7" s="13">
        <v>8.526825E7</v>
      </c>
      <c r="D7" s="14">
        <f t="shared" si="1"/>
        <v>9221.977677</v>
      </c>
      <c r="E7" s="14">
        <f t="shared" si="2"/>
        <v>76.84981398</v>
      </c>
      <c r="G7" s="30">
        <v>1750.0</v>
      </c>
    </row>
    <row r="8">
      <c r="A8" s="11">
        <v>45870.0</v>
      </c>
      <c r="B8" s="29">
        <v>11383.0</v>
      </c>
      <c r="C8" s="13">
        <v>1.02447E8</v>
      </c>
      <c r="D8" s="14">
        <f t="shared" si="1"/>
        <v>9000</v>
      </c>
      <c r="E8" s="14">
        <f t="shared" si="2"/>
        <v>75</v>
      </c>
      <c r="G8" s="30">
        <v>1670.0</v>
      </c>
    </row>
    <row r="9">
      <c r="A9" s="11">
        <v>45901.0</v>
      </c>
      <c r="B9" s="29">
        <v>13211.0</v>
      </c>
      <c r="C9" s="13">
        <v>1.18899E8</v>
      </c>
      <c r="D9" s="14">
        <f t="shared" si="1"/>
        <v>9000</v>
      </c>
      <c r="E9" s="14">
        <f t="shared" si="2"/>
        <v>75</v>
      </c>
      <c r="G9" s="30">
        <v>1067.0</v>
      </c>
    </row>
    <row r="10">
      <c r="A10" s="11">
        <v>45931.0</v>
      </c>
      <c r="B10" s="29">
        <v>17369.0</v>
      </c>
      <c r="C10" s="13">
        <v>1.56321E8</v>
      </c>
      <c r="D10" s="14">
        <f t="shared" si="1"/>
        <v>9000</v>
      </c>
      <c r="E10" s="14">
        <f t="shared" si="2"/>
        <v>75</v>
      </c>
      <c r="G10" s="30">
        <v>1187.0</v>
      </c>
    </row>
    <row r="11">
      <c r="A11" s="11">
        <v>45962.0</v>
      </c>
      <c r="B11" s="29">
        <v>12758.5</v>
      </c>
      <c r="C11" s="13">
        <v>1.14831E8</v>
      </c>
      <c r="D11" s="14">
        <f t="shared" si="1"/>
        <v>9000.352706</v>
      </c>
      <c r="E11" s="14">
        <f t="shared" si="2"/>
        <v>75.00293922</v>
      </c>
      <c r="G11" s="30">
        <v>1220.0</v>
      </c>
    </row>
    <row r="12">
      <c r="A12" s="11">
        <v>45992.0</v>
      </c>
      <c r="B12" s="29">
        <v>6659.416667</v>
      </c>
      <c r="C12" s="13">
        <v>5.993475E7</v>
      </c>
      <c r="D12" s="14">
        <f t="shared" si="1"/>
        <v>9000</v>
      </c>
      <c r="E12" s="14">
        <f t="shared" si="2"/>
        <v>75</v>
      </c>
      <c r="G12" s="30">
        <v>1239.0</v>
      </c>
    </row>
    <row r="13">
      <c r="A13" s="8" t="s">
        <v>7</v>
      </c>
      <c r="B13" s="31">
        <f t="shared" ref="B13:C13" si="3">SUM(B4:B12)</f>
        <v>78790.53333</v>
      </c>
      <c r="C13" s="17">
        <f t="shared" si="3"/>
        <v>710463183.3</v>
      </c>
      <c r="D13" s="18">
        <f t="shared" ref="D13:E13" si="4">AVERAGE(D4:D12)</f>
        <v>8983.214783</v>
      </c>
      <c r="E13" s="18">
        <f t="shared" si="4"/>
        <v>74.86012319</v>
      </c>
      <c r="F13" s="21"/>
      <c r="G13" s="18">
        <f>AVERAGE(G4:G12)</f>
        <v>1479.777778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9">
      <c r="A19" s="20"/>
      <c r="B19" s="8" t="s">
        <v>8</v>
      </c>
      <c r="C19" s="20"/>
      <c r="D19" s="8" t="s">
        <v>9</v>
      </c>
      <c r="E19" s="20"/>
      <c r="F19" s="8" t="s">
        <v>10</v>
      </c>
      <c r="G19" s="20"/>
      <c r="H19" s="8" t="s">
        <v>11</v>
      </c>
      <c r="J19" s="8" t="s">
        <v>12</v>
      </c>
      <c r="K19" s="20"/>
      <c r="L19" s="20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0"/>
      <c r="B20" s="8" t="s">
        <v>15</v>
      </c>
      <c r="C20" s="8" t="s">
        <v>7</v>
      </c>
      <c r="D20" s="8" t="s">
        <v>15</v>
      </c>
      <c r="E20" s="8" t="s">
        <v>7</v>
      </c>
      <c r="F20" s="8" t="s">
        <v>15</v>
      </c>
      <c r="G20" s="8" t="s">
        <v>7</v>
      </c>
      <c r="H20" s="8" t="s">
        <v>15</v>
      </c>
      <c r="I20" s="8" t="s">
        <v>7</v>
      </c>
      <c r="J20" s="8" t="s">
        <v>15</v>
      </c>
      <c r="K20" s="8" t="s">
        <v>7</v>
      </c>
      <c r="L20" s="8" t="s">
        <v>15</v>
      </c>
      <c r="M20" s="8" t="s">
        <v>7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1">
        <v>45748.0</v>
      </c>
      <c r="B21" s="29">
        <v>4.416666667</v>
      </c>
      <c r="C21" s="29">
        <v>4183.32</v>
      </c>
      <c r="D21" s="29">
        <v>1046.0</v>
      </c>
      <c r="E21" s="29">
        <v>9234000.0</v>
      </c>
      <c r="F21" s="29">
        <v>200.0</v>
      </c>
      <c r="G21" s="29">
        <v>1800000.0</v>
      </c>
      <c r="H21" s="32"/>
      <c r="I21" s="32"/>
      <c r="J21" s="32"/>
      <c r="K21" s="32"/>
      <c r="L21" s="31">
        <v>1250.416667</v>
      </c>
      <c r="M21" s="31">
        <v>1.103818332E7</v>
      </c>
    </row>
    <row r="22">
      <c r="A22" s="11">
        <v>45778.0</v>
      </c>
      <c r="B22" s="32"/>
      <c r="C22" s="32"/>
      <c r="D22" s="29">
        <v>1760.0</v>
      </c>
      <c r="E22" s="29">
        <v>1.5552E7</v>
      </c>
      <c r="F22" s="32"/>
      <c r="G22" s="32"/>
      <c r="H22" s="29">
        <v>20.0</v>
      </c>
      <c r="I22" s="29">
        <v>182000.0</v>
      </c>
      <c r="J22" s="32"/>
      <c r="K22" s="32"/>
      <c r="L22" s="31">
        <v>1780.0</v>
      </c>
      <c r="M22" s="31">
        <v>1.5734E7</v>
      </c>
    </row>
    <row r="23">
      <c r="A23" s="11">
        <v>45809.0</v>
      </c>
      <c r="B23" s="29">
        <v>216.0</v>
      </c>
      <c r="C23" s="29">
        <v>1917000.0</v>
      </c>
      <c r="D23" s="29">
        <v>4117.0</v>
      </c>
      <c r="E23" s="29">
        <v>3.6873E7</v>
      </c>
      <c r="F23" s="29">
        <v>800.0</v>
      </c>
      <c r="G23" s="29">
        <v>7200000.0</v>
      </c>
      <c r="H23" s="32"/>
      <c r="I23" s="32"/>
      <c r="J23" s="32"/>
      <c r="K23" s="32"/>
      <c r="L23" s="31">
        <v>5133.0</v>
      </c>
      <c r="M23" s="31">
        <v>4.599E7</v>
      </c>
    </row>
    <row r="24">
      <c r="A24" s="11">
        <v>45839.0</v>
      </c>
      <c r="B24" s="29">
        <v>664.25</v>
      </c>
      <c r="C24" s="29">
        <v>5978250.0</v>
      </c>
      <c r="D24" s="29">
        <v>8580.95</v>
      </c>
      <c r="E24" s="29">
        <v>7.9281E7</v>
      </c>
      <c r="F24" s="32"/>
      <c r="G24" s="32"/>
      <c r="H24" s="32"/>
      <c r="I24" s="32"/>
      <c r="J24" s="29">
        <v>1.0</v>
      </c>
      <c r="K24" s="29">
        <v>9000.0</v>
      </c>
      <c r="L24" s="31">
        <v>9246.2</v>
      </c>
      <c r="M24" s="31">
        <v>8.526825E7</v>
      </c>
    </row>
    <row r="25">
      <c r="A25" s="11">
        <v>45870.0</v>
      </c>
      <c r="B25" s="32"/>
      <c r="C25" s="32"/>
      <c r="D25" s="29">
        <v>11382.0</v>
      </c>
      <c r="E25" s="29">
        <v>1.02438E8</v>
      </c>
      <c r="F25" s="32"/>
      <c r="G25" s="32"/>
      <c r="H25" s="32"/>
      <c r="I25" s="32"/>
      <c r="J25" s="29">
        <v>1.0</v>
      </c>
      <c r="K25" s="29">
        <v>9000.0</v>
      </c>
      <c r="L25" s="31">
        <v>11383.0</v>
      </c>
      <c r="M25" s="31">
        <v>1.02447E8</v>
      </c>
    </row>
    <row r="26">
      <c r="A26" s="11">
        <v>45901.0</v>
      </c>
      <c r="B26" s="29">
        <v>5.0</v>
      </c>
      <c r="C26" s="29">
        <v>45000.0</v>
      </c>
      <c r="D26" s="29">
        <v>13191.0</v>
      </c>
      <c r="E26" s="29">
        <v>1.18719E8</v>
      </c>
      <c r="F26" s="29">
        <v>15.0</v>
      </c>
      <c r="G26" s="29">
        <v>135000.0</v>
      </c>
      <c r="H26" s="32"/>
      <c r="I26" s="32"/>
      <c r="J26" s="32"/>
      <c r="K26" s="32"/>
      <c r="L26" s="31">
        <v>13211.0</v>
      </c>
      <c r="M26" s="31">
        <v>1.18899E8</v>
      </c>
    </row>
    <row r="27">
      <c r="A27" s="11">
        <v>45931.0</v>
      </c>
      <c r="B27" s="29">
        <v>14.0</v>
      </c>
      <c r="C27" s="29">
        <v>126000.0</v>
      </c>
      <c r="D27" s="29">
        <v>16885.0</v>
      </c>
      <c r="E27" s="29">
        <v>1.51965E8</v>
      </c>
      <c r="F27" s="29">
        <v>470.0</v>
      </c>
      <c r="G27" s="29">
        <v>4230000.0</v>
      </c>
      <c r="H27" s="32"/>
      <c r="I27" s="32"/>
      <c r="J27" s="32"/>
      <c r="K27" s="32"/>
      <c r="L27" s="31">
        <v>17369.0</v>
      </c>
      <c r="M27" s="31">
        <v>1.56321E8</v>
      </c>
    </row>
    <row r="28">
      <c r="A28" s="11">
        <v>45962.0</v>
      </c>
      <c r="B28" s="29">
        <v>25.5</v>
      </c>
      <c r="C28" s="29">
        <v>234000.0</v>
      </c>
      <c r="D28" s="29">
        <v>12713.0</v>
      </c>
      <c r="E28" s="29">
        <v>1.14417E8</v>
      </c>
      <c r="F28" s="29">
        <v>20.0</v>
      </c>
      <c r="G28" s="29">
        <v>180000.0</v>
      </c>
      <c r="H28" s="32"/>
      <c r="I28" s="32"/>
      <c r="J28" s="32"/>
      <c r="K28" s="32"/>
      <c r="L28" s="31">
        <v>12758.5</v>
      </c>
      <c r="M28" s="31">
        <v>1.14831E8</v>
      </c>
    </row>
    <row r="29">
      <c r="A29" s="11">
        <v>45992.0</v>
      </c>
      <c r="B29" s="29">
        <v>0.416666667</v>
      </c>
      <c r="C29" s="29">
        <v>3750.0</v>
      </c>
      <c r="D29" s="29">
        <v>6650.0</v>
      </c>
      <c r="E29" s="29">
        <v>5.985E7</v>
      </c>
      <c r="F29" s="29">
        <v>9.0</v>
      </c>
      <c r="G29" s="29">
        <v>81000.0</v>
      </c>
      <c r="H29" s="32"/>
      <c r="I29" s="32"/>
      <c r="J29" s="32"/>
      <c r="K29" s="32"/>
      <c r="L29" s="31">
        <v>6659.416667</v>
      </c>
      <c r="M29" s="31">
        <v>5.993475E7</v>
      </c>
    </row>
    <row r="30">
      <c r="A30" s="26" t="s">
        <v>7</v>
      </c>
      <c r="B30" s="33">
        <v>929.5833333</v>
      </c>
      <c r="C30" s="33">
        <v>8308183.32</v>
      </c>
      <c r="D30" s="33">
        <v>76324.95</v>
      </c>
      <c r="E30" s="33">
        <v>6.88329E8</v>
      </c>
      <c r="F30" s="33">
        <v>1514.0</v>
      </c>
      <c r="G30" s="33">
        <v>1.3626E7</v>
      </c>
      <c r="H30" s="33">
        <v>20.0</v>
      </c>
      <c r="I30" s="33">
        <v>182000.0</v>
      </c>
      <c r="J30" s="33">
        <v>2.0</v>
      </c>
      <c r="K30" s="33">
        <v>18000.0</v>
      </c>
      <c r="L30" s="33">
        <v>78790.53333</v>
      </c>
      <c r="M30" s="33">
        <v>7.104631833E8</v>
      </c>
    </row>
    <row r="35">
      <c r="A35" s="15" t="s">
        <v>16</v>
      </c>
    </row>
  </sheetData>
  <mergeCells count="2">
    <mergeCell ref="A1:E1"/>
    <mergeCell ref="H19:I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5.63"/>
    <col customWidth="1" min="5" max="5" width="18.5"/>
  </cols>
  <sheetData>
    <row r="1">
      <c r="A1" s="1" t="s">
        <v>17</v>
      </c>
    </row>
    <row r="2">
      <c r="G2" s="6" t="s">
        <v>1</v>
      </c>
    </row>
    <row r="3">
      <c r="A3" s="7"/>
      <c r="B3" s="8" t="s">
        <v>13</v>
      </c>
      <c r="C3" s="8" t="s">
        <v>7</v>
      </c>
      <c r="D3" s="9" t="s">
        <v>4</v>
      </c>
      <c r="E3" s="9" t="s">
        <v>18</v>
      </c>
      <c r="G3" s="10" t="s">
        <v>6</v>
      </c>
    </row>
    <row r="4">
      <c r="A4" s="11">
        <v>45748.0</v>
      </c>
      <c r="B4" s="4">
        <v>20.0</v>
      </c>
      <c r="C4" s="17">
        <v>372000.0</v>
      </c>
      <c r="D4" s="14">
        <f t="shared" ref="D4:D12" si="1">C4/B4</f>
        <v>18600</v>
      </c>
      <c r="E4" s="14">
        <f t="shared" ref="E4:E12" si="2">D4/12</f>
        <v>1550</v>
      </c>
      <c r="G4" s="15">
        <v>1720.0</v>
      </c>
    </row>
    <row r="5">
      <c r="A5" s="11">
        <v>45778.0</v>
      </c>
      <c r="B5" s="4">
        <v>50.0</v>
      </c>
      <c r="C5" s="17">
        <v>930000.0</v>
      </c>
      <c r="D5" s="14">
        <f t="shared" si="1"/>
        <v>18600</v>
      </c>
      <c r="E5" s="14">
        <f t="shared" si="2"/>
        <v>1550</v>
      </c>
      <c r="G5" s="15">
        <v>1720.0</v>
      </c>
    </row>
    <row r="6">
      <c r="A6" s="11">
        <v>45809.0</v>
      </c>
      <c r="B6" s="4">
        <v>23.0</v>
      </c>
      <c r="C6" s="17">
        <v>428700.0</v>
      </c>
      <c r="D6" s="14">
        <f t="shared" si="1"/>
        <v>18639.13043</v>
      </c>
      <c r="E6" s="14">
        <f t="shared" si="2"/>
        <v>1553.26087</v>
      </c>
      <c r="G6" s="15">
        <v>1745.0</v>
      </c>
    </row>
    <row r="7">
      <c r="A7" s="11">
        <v>45839.0</v>
      </c>
      <c r="B7" s="4">
        <v>62.0</v>
      </c>
      <c r="C7" s="17">
        <v>1155000.0</v>
      </c>
      <c r="D7" s="14">
        <f t="shared" si="1"/>
        <v>18629.03226</v>
      </c>
      <c r="E7" s="14">
        <f t="shared" si="2"/>
        <v>1552.419355</v>
      </c>
      <c r="G7" s="15">
        <v>1750.0</v>
      </c>
    </row>
    <row r="8">
      <c r="A8" s="11">
        <v>45870.0</v>
      </c>
      <c r="B8" s="4">
        <v>73.0</v>
      </c>
      <c r="C8" s="17">
        <v>1357800.0</v>
      </c>
      <c r="D8" s="14">
        <f t="shared" si="1"/>
        <v>18600</v>
      </c>
      <c r="E8" s="14">
        <f t="shared" si="2"/>
        <v>1550</v>
      </c>
      <c r="G8" s="15">
        <v>1670.0</v>
      </c>
    </row>
    <row r="9">
      <c r="A9" s="11">
        <v>45901.0</v>
      </c>
      <c r="B9" s="4">
        <v>26.0</v>
      </c>
      <c r="C9" s="17">
        <v>483600.0</v>
      </c>
      <c r="D9" s="14">
        <f t="shared" si="1"/>
        <v>18600</v>
      </c>
      <c r="E9" s="14">
        <f t="shared" si="2"/>
        <v>1550</v>
      </c>
      <c r="G9" s="15">
        <v>1067.0</v>
      </c>
    </row>
    <row r="10">
      <c r="A10" s="11">
        <v>45931.0</v>
      </c>
      <c r="B10" s="4">
        <v>6.0</v>
      </c>
      <c r="C10" s="17">
        <v>111600.0</v>
      </c>
      <c r="D10" s="14">
        <f t="shared" si="1"/>
        <v>18600</v>
      </c>
      <c r="E10" s="14">
        <f t="shared" si="2"/>
        <v>1550</v>
      </c>
      <c r="G10" s="15">
        <v>1187.0</v>
      </c>
    </row>
    <row r="11">
      <c r="A11" s="11">
        <v>45962.0</v>
      </c>
      <c r="B11" s="4">
        <v>10.0</v>
      </c>
      <c r="C11" s="17">
        <v>186000.0</v>
      </c>
      <c r="D11" s="14">
        <f t="shared" si="1"/>
        <v>18600</v>
      </c>
      <c r="E11" s="14">
        <f t="shared" si="2"/>
        <v>1550</v>
      </c>
      <c r="G11" s="15">
        <v>1220.0</v>
      </c>
    </row>
    <row r="12">
      <c r="A12" s="11">
        <v>45992.0</v>
      </c>
      <c r="B12" s="4">
        <v>1.0</v>
      </c>
      <c r="C12" s="17">
        <v>18600.0</v>
      </c>
      <c r="D12" s="14">
        <f t="shared" si="1"/>
        <v>18600</v>
      </c>
      <c r="E12" s="14">
        <f t="shared" si="2"/>
        <v>1550</v>
      </c>
      <c r="G12" s="15">
        <v>1239.0</v>
      </c>
    </row>
    <row r="13">
      <c r="A13" s="9" t="s">
        <v>7</v>
      </c>
      <c r="B13" s="4">
        <v>271.0</v>
      </c>
      <c r="C13" s="17">
        <v>5043300.0</v>
      </c>
      <c r="D13" s="18">
        <f t="shared" ref="D13:E13" si="3">AVERAGE(D4:D12)</f>
        <v>18607.57363</v>
      </c>
      <c r="E13" s="18">
        <f t="shared" si="3"/>
        <v>1550.631136</v>
      </c>
      <c r="G13" s="19">
        <f>AVERAGE(G4:G12)</f>
        <v>1479.777778</v>
      </c>
    </row>
    <row r="20">
      <c r="A20" s="20"/>
      <c r="B20" s="8" t="s">
        <v>8</v>
      </c>
      <c r="C20" s="20"/>
      <c r="D20" s="8" t="s">
        <v>9</v>
      </c>
      <c r="E20" s="20"/>
      <c r="F20" s="8" t="s">
        <v>19</v>
      </c>
      <c r="G20" s="20"/>
      <c r="H20" s="8" t="s">
        <v>20</v>
      </c>
      <c r="I20" s="20"/>
      <c r="J20" s="8" t="s">
        <v>11</v>
      </c>
      <c r="L20" s="8" t="s">
        <v>21</v>
      </c>
      <c r="M20" s="20"/>
      <c r="N20" s="20"/>
      <c r="O20" s="2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0"/>
      <c r="B21" s="8" t="s">
        <v>13</v>
      </c>
      <c r="C21" s="8" t="s">
        <v>7</v>
      </c>
      <c r="D21" s="8" t="s">
        <v>13</v>
      </c>
      <c r="E21" s="8" t="s">
        <v>7</v>
      </c>
      <c r="F21" s="8" t="s">
        <v>13</v>
      </c>
      <c r="G21" s="8" t="s">
        <v>7</v>
      </c>
      <c r="H21" s="8" t="s">
        <v>13</v>
      </c>
      <c r="I21" s="8" t="s">
        <v>7</v>
      </c>
      <c r="J21" s="8" t="s">
        <v>13</v>
      </c>
      <c r="K21" s="8" t="s">
        <v>7</v>
      </c>
      <c r="L21" s="8" t="s">
        <v>13</v>
      </c>
      <c r="M21" s="8" t="s">
        <v>7</v>
      </c>
      <c r="N21" s="8" t="s">
        <v>13</v>
      </c>
      <c r="O21" s="8" t="s">
        <v>7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1">
        <v>45748.0</v>
      </c>
      <c r="B22" s="5">
        <v>10.0</v>
      </c>
      <c r="C22" s="13">
        <v>186000.0</v>
      </c>
      <c r="D22" s="34"/>
      <c r="E22" s="24"/>
      <c r="F22" s="34"/>
      <c r="G22" s="24"/>
      <c r="H22" s="5">
        <v>10.0</v>
      </c>
      <c r="I22" s="13">
        <v>186000.0</v>
      </c>
      <c r="J22" s="34"/>
      <c r="K22" s="24"/>
      <c r="L22" s="2"/>
      <c r="M22" s="24"/>
      <c r="N22" s="4">
        <v>20.0</v>
      </c>
      <c r="O22" s="17">
        <v>372000.0</v>
      </c>
    </row>
    <row r="23">
      <c r="A23" s="11">
        <v>45778.0</v>
      </c>
      <c r="B23" s="2"/>
      <c r="C23" s="24"/>
      <c r="D23" s="2"/>
      <c r="E23" s="24"/>
      <c r="F23" s="5">
        <v>20.0</v>
      </c>
      <c r="G23" s="13">
        <v>372000.0</v>
      </c>
      <c r="H23" s="34"/>
      <c r="I23" s="24"/>
      <c r="J23" s="5">
        <v>30.0</v>
      </c>
      <c r="K23" s="13">
        <v>558000.0</v>
      </c>
      <c r="L23" s="2"/>
      <c r="M23" s="24"/>
      <c r="N23" s="4">
        <v>50.0</v>
      </c>
      <c r="O23" s="17">
        <v>930000.0</v>
      </c>
    </row>
    <row r="24">
      <c r="A24" s="11">
        <v>45809.0</v>
      </c>
      <c r="B24" s="2"/>
      <c r="C24" s="24"/>
      <c r="D24" s="34"/>
      <c r="E24" s="24"/>
      <c r="F24" s="5">
        <v>3.0</v>
      </c>
      <c r="G24" s="13">
        <v>56700.0</v>
      </c>
      <c r="H24" s="5">
        <v>20.0</v>
      </c>
      <c r="I24" s="13">
        <v>372000.0</v>
      </c>
      <c r="J24" s="34"/>
      <c r="K24" s="24"/>
      <c r="L24" s="2"/>
      <c r="M24" s="24"/>
      <c r="N24" s="4">
        <v>23.0</v>
      </c>
      <c r="O24" s="17">
        <v>428700.0</v>
      </c>
    </row>
    <row r="25">
      <c r="A25" s="11">
        <v>45839.0</v>
      </c>
      <c r="B25" s="2"/>
      <c r="C25" s="24"/>
      <c r="D25" s="5">
        <v>50.0</v>
      </c>
      <c r="E25" s="13">
        <v>930000.0</v>
      </c>
      <c r="F25" s="5">
        <v>2.0</v>
      </c>
      <c r="G25" s="13">
        <v>39000.0</v>
      </c>
      <c r="H25" s="2"/>
      <c r="I25" s="24"/>
      <c r="J25" s="5">
        <v>10.0</v>
      </c>
      <c r="K25" s="13">
        <v>186000.0</v>
      </c>
      <c r="L25" s="2"/>
      <c r="M25" s="24"/>
      <c r="N25" s="4">
        <v>62.0</v>
      </c>
      <c r="O25" s="17">
        <v>1155000.0</v>
      </c>
    </row>
    <row r="26">
      <c r="A26" s="11">
        <v>45870.0</v>
      </c>
      <c r="B26" s="2"/>
      <c r="C26" s="24"/>
      <c r="D26" s="5">
        <v>70.0</v>
      </c>
      <c r="E26" s="13">
        <v>1302000.0</v>
      </c>
      <c r="F26" s="5">
        <v>2.0</v>
      </c>
      <c r="G26" s="13">
        <v>37200.0</v>
      </c>
      <c r="H26" s="2"/>
      <c r="I26" s="24"/>
      <c r="J26" s="34"/>
      <c r="K26" s="24"/>
      <c r="L26" s="5">
        <v>1.0</v>
      </c>
      <c r="M26" s="13">
        <v>18600.0</v>
      </c>
      <c r="N26" s="4">
        <v>73.0</v>
      </c>
      <c r="O26" s="17">
        <v>1357800.0</v>
      </c>
    </row>
    <row r="27">
      <c r="A27" s="11">
        <v>45901.0</v>
      </c>
      <c r="B27" s="5">
        <v>1.0</v>
      </c>
      <c r="C27" s="13">
        <v>18600.0</v>
      </c>
      <c r="D27" s="34"/>
      <c r="E27" s="24"/>
      <c r="F27" s="5">
        <v>15.0</v>
      </c>
      <c r="G27" s="13">
        <v>279000.0</v>
      </c>
      <c r="H27" s="2"/>
      <c r="I27" s="24"/>
      <c r="J27" s="5">
        <v>10.0</v>
      </c>
      <c r="K27" s="13">
        <v>186000.0</v>
      </c>
      <c r="L27" s="2"/>
      <c r="M27" s="24"/>
      <c r="N27" s="4">
        <v>26.0</v>
      </c>
      <c r="O27" s="17">
        <v>483600.0</v>
      </c>
    </row>
    <row r="28">
      <c r="A28" s="11">
        <v>45931.0</v>
      </c>
      <c r="B28" s="5">
        <v>6.0</v>
      </c>
      <c r="C28" s="13">
        <v>111600.0</v>
      </c>
      <c r="D28" s="2"/>
      <c r="E28" s="24"/>
      <c r="F28" s="34"/>
      <c r="G28" s="24"/>
      <c r="H28" s="2"/>
      <c r="I28" s="24"/>
      <c r="J28" s="34"/>
      <c r="K28" s="24"/>
      <c r="L28" s="2"/>
      <c r="M28" s="24"/>
      <c r="N28" s="4">
        <v>6.0</v>
      </c>
      <c r="O28" s="17">
        <v>111600.0</v>
      </c>
    </row>
    <row r="29">
      <c r="A29" s="11">
        <v>45962.0</v>
      </c>
      <c r="B29" s="5">
        <v>4.0</v>
      </c>
      <c r="C29" s="13">
        <v>74400.0</v>
      </c>
      <c r="D29" s="2"/>
      <c r="E29" s="24"/>
      <c r="F29" s="5">
        <v>6.0</v>
      </c>
      <c r="G29" s="13">
        <v>111600.0</v>
      </c>
      <c r="H29" s="2"/>
      <c r="I29" s="24"/>
      <c r="J29" s="34"/>
      <c r="K29" s="24"/>
      <c r="L29" s="2"/>
      <c r="M29" s="24"/>
      <c r="N29" s="4">
        <v>10.0</v>
      </c>
      <c r="O29" s="17">
        <v>186000.0</v>
      </c>
    </row>
    <row r="30">
      <c r="A30" s="11">
        <v>45992.0</v>
      </c>
      <c r="B30" s="5">
        <v>1.0</v>
      </c>
      <c r="C30" s="13">
        <v>18600.0</v>
      </c>
      <c r="D30" s="34"/>
      <c r="E30" s="24"/>
      <c r="F30" s="34"/>
      <c r="G30" s="24"/>
      <c r="H30" s="34"/>
      <c r="I30" s="24"/>
      <c r="J30" s="34"/>
      <c r="K30" s="24"/>
      <c r="L30" s="2"/>
      <c r="M30" s="24"/>
      <c r="N30" s="4">
        <v>1.0</v>
      </c>
      <c r="O30" s="17">
        <v>18600.0</v>
      </c>
    </row>
    <row r="31">
      <c r="A31" s="35" t="s">
        <v>7</v>
      </c>
      <c r="B31" s="9">
        <f t="shared" ref="B31:O31" si="4">SUM(B22:B30)</f>
        <v>22</v>
      </c>
      <c r="C31" s="28">
        <f t="shared" si="4"/>
        <v>409200</v>
      </c>
      <c r="D31" s="9">
        <f t="shared" si="4"/>
        <v>120</v>
      </c>
      <c r="E31" s="28">
        <f t="shared" si="4"/>
        <v>2232000</v>
      </c>
      <c r="F31" s="9">
        <f t="shared" si="4"/>
        <v>48</v>
      </c>
      <c r="G31" s="28">
        <f t="shared" si="4"/>
        <v>895500</v>
      </c>
      <c r="H31" s="9">
        <f t="shared" si="4"/>
        <v>30</v>
      </c>
      <c r="I31" s="28">
        <f t="shared" si="4"/>
        <v>558000</v>
      </c>
      <c r="J31" s="9">
        <f t="shared" si="4"/>
        <v>50</v>
      </c>
      <c r="K31" s="28">
        <f t="shared" si="4"/>
        <v>930000</v>
      </c>
      <c r="L31" s="9">
        <f t="shared" si="4"/>
        <v>1</v>
      </c>
      <c r="M31" s="28">
        <f t="shared" si="4"/>
        <v>18600</v>
      </c>
      <c r="N31" s="9">
        <f t="shared" si="4"/>
        <v>271</v>
      </c>
      <c r="O31" s="28">
        <f t="shared" si="4"/>
        <v>5043300</v>
      </c>
    </row>
  </sheetData>
  <mergeCells count="2">
    <mergeCell ref="A1:E1"/>
    <mergeCell ref="J20:K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5.63"/>
    <col customWidth="1" min="5" max="5" width="18.5"/>
  </cols>
  <sheetData>
    <row r="1">
      <c r="A1" s="1" t="s">
        <v>22</v>
      </c>
    </row>
    <row r="2">
      <c r="G2" s="6" t="s">
        <v>1</v>
      </c>
    </row>
    <row r="3">
      <c r="A3" s="7"/>
      <c r="B3" s="8" t="s">
        <v>13</v>
      </c>
      <c r="C3" s="8" t="s">
        <v>7</v>
      </c>
      <c r="D3" s="9" t="s">
        <v>4</v>
      </c>
      <c r="E3" s="9" t="s">
        <v>18</v>
      </c>
      <c r="G3" s="10" t="s">
        <v>6</v>
      </c>
    </row>
    <row r="4">
      <c r="A4" s="11">
        <v>45748.0</v>
      </c>
      <c r="B4" s="5">
        <v>30.0</v>
      </c>
      <c r="C4" s="13">
        <v>288000.0</v>
      </c>
      <c r="D4" s="14">
        <f t="shared" ref="D4:D12" si="1">C4/B4</f>
        <v>9600</v>
      </c>
      <c r="E4" s="14">
        <f t="shared" ref="E4:E12" si="2">D4/12</f>
        <v>800</v>
      </c>
      <c r="G4" s="15">
        <v>1720.0</v>
      </c>
    </row>
    <row r="5">
      <c r="A5" s="11">
        <v>45778.0</v>
      </c>
      <c r="B5" s="5">
        <v>110.0</v>
      </c>
      <c r="C5" s="13">
        <v>1056000.0</v>
      </c>
      <c r="D5" s="14">
        <f t="shared" si="1"/>
        <v>9600</v>
      </c>
      <c r="E5" s="14">
        <f t="shared" si="2"/>
        <v>800</v>
      </c>
      <c r="G5" s="15">
        <v>1720.0</v>
      </c>
    </row>
    <row r="6">
      <c r="A6" s="11">
        <v>45809.0</v>
      </c>
      <c r="B6" s="5">
        <v>24.0</v>
      </c>
      <c r="C6" s="13">
        <v>230400.0</v>
      </c>
      <c r="D6" s="14">
        <f t="shared" si="1"/>
        <v>9600</v>
      </c>
      <c r="E6" s="14">
        <f t="shared" si="2"/>
        <v>800</v>
      </c>
      <c r="G6" s="15">
        <v>1745.0</v>
      </c>
    </row>
    <row r="7">
      <c r="A7" s="11">
        <v>45839.0</v>
      </c>
      <c r="B7" s="5">
        <v>50.0</v>
      </c>
      <c r="C7" s="13">
        <v>480000.0</v>
      </c>
      <c r="D7" s="14">
        <f t="shared" si="1"/>
        <v>9600</v>
      </c>
      <c r="E7" s="14">
        <f t="shared" si="2"/>
        <v>800</v>
      </c>
      <c r="G7" s="15">
        <v>1750.0</v>
      </c>
    </row>
    <row r="8">
      <c r="A8" s="11">
        <v>45870.0</v>
      </c>
      <c r="B8" s="5">
        <v>2.0</v>
      </c>
      <c r="C8" s="13">
        <v>19200.0</v>
      </c>
      <c r="D8" s="14">
        <f t="shared" si="1"/>
        <v>9600</v>
      </c>
      <c r="E8" s="14">
        <f t="shared" si="2"/>
        <v>800</v>
      </c>
      <c r="G8" s="15">
        <v>1670.0</v>
      </c>
    </row>
    <row r="9">
      <c r="A9" s="11">
        <v>45901.0</v>
      </c>
      <c r="B9" s="5">
        <v>70.0</v>
      </c>
      <c r="C9" s="13">
        <v>672000.0</v>
      </c>
      <c r="D9" s="14">
        <f t="shared" si="1"/>
        <v>9600</v>
      </c>
      <c r="E9" s="14">
        <f t="shared" si="2"/>
        <v>800</v>
      </c>
      <c r="G9" s="15">
        <v>1067.0</v>
      </c>
    </row>
    <row r="10">
      <c r="A10" s="11">
        <v>45931.0</v>
      </c>
      <c r="B10" s="5">
        <v>41.0</v>
      </c>
      <c r="C10" s="13">
        <v>393600.0</v>
      </c>
      <c r="D10" s="14">
        <f t="shared" si="1"/>
        <v>9600</v>
      </c>
      <c r="E10" s="14">
        <f t="shared" si="2"/>
        <v>800</v>
      </c>
      <c r="G10" s="15">
        <v>1187.0</v>
      </c>
    </row>
    <row r="11">
      <c r="A11" s="11">
        <v>45962.0</v>
      </c>
      <c r="B11" s="5">
        <v>5.0</v>
      </c>
      <c r="C11" s="13">
        <v>48000.0</v>
      </c>
      <c r="D11" s="14">
        <f t="shared" si="1"/>
        <v>9600</v>
      </c>
      <c r="E11" s="14">
        <f t="shared" si="2"/>
        <v>800</v>
      </c>
      <c r="G11" s="15">
        <v>1220.0</v>
      </c>
    </row>
    <row r="12">
      <c r="A12" s="11">
        <v>45992.0</v>
      </c>
      <c r="B12" s="5">
        <v>1.0</v>
      </c>
      <c r="C12" s="13">
        <v>9600.0</v>
      </c>
      <c r="D12" s="14">
        <f t="shared" si="1"/>
        <v>9600</v>
      </c>
      <c r="E12" s="14">
        <f t="shared" si="2"/>
        <v>800</v>
      </c>
      <c r="G12" s="15">
        <v>1239.0</v>
      </c>
    </row>
    <row r="13">
      <c r="A13" s="8" t="s">
        <v>7</v>
      </c>
      <c r="B13" s="4">
        <f t="shared" ref="B13:C13" si="3">SUM(B4:B12)</f>
        <v>333</v>
      </c>
      <c r="C13" s="17">
        <f t="shared" si="3"/>
        <v>3196800</v>
      </c>
      <c r="D13" s="18">
        <f t="shared" ref="D13:E13" si="4">AVERAGE(D4:D12)</f>
        <v>9600</v>
      </c>
      <c r="E13" s="18">
        <f t="shared" si="4"/>
        <v>800</v>
      </c>
      <c r="G13" s="19">
        <f>AVERAGE(G4:G12)</f>
        <v>1479.777778</v>
      </c>
    </row>
    <row r="20">
      <c r="A20" s="20"/>
      <c r="B20" s="8" t="s">
        <v>8</v>
      </c>
      <c r="C20" s="20"/>
      <c r="D20" s="8" t="s">
        <v>9</v>
      </c>
      <c r="E20" s="20"/>
      <c r="F20" s="8" t="s">
        <v>19</v>
      </c>
      <c r="G20" s="20"/>
      <c r="H20" s="8" t="s">
        <v>20</v>
      </c>
      <c r="I20" s="20"/>
      <c r="J20" s="20"/>
      <c r="K20" s="2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0"/>
      <c r="B21" s="8" t="s">
        <v>13</v>
      </c>
      <c r="C21" s="8" t="s">
        <v>7</v>
      </c>
      <c r="D21" s="8" t="s">
        <v>13</v>
      </c>
      <c r="E21" s="8" t="s">
        <v>7</v>
      </c>
      <c r="F21" s="8" t="s">
        <v>13</v>
      </c>
      <c r="G21" s="8" t="s">
        <v>7</v>
      </c>
      <c r="H21" s="8" t="s">
        <v>13</v>
      </c>
      <c r="I21" s="8" t="s">
        <v>7</v>
      </c>
      <c r="J21" s="8" t="s">
        <v>13</v>
      </c>
      <c r="K21" s="8" t="s">
        <v>7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1">
        <v>45748.0</v>
      </c>
      <c r="B22" s="5">
        <v>10.0</v>
      </c>
      <c r="C22" s="13">
        <v>96000.0</v>
      </c>
      <c r="D22" s="2"/>
      <c r="E22" s="24"/>
      <c r="F22" s="5">
        <v>10.0</v>
      </c>
      <c r="G22" s="13">
        <v>96000.0</v>
      </c>
      <c r="H22" s="5">
        <v>10.0</v>
      </c>
      <c r="I22" s="13">
        <v>96000.0</v>
      </c>
      <c r="J22" s="4">
        <v>30.0</v>
      </c>
      <c r="K22" s="17">
        <v>288000.0</v>
      </c>
    </row>
    <row r="23">
      <c r="A23" s="11">
        <v>45778.0</v>
      </c>
      <c r="B23" s="2"/>
      <c r="C23" s="24"/>
      <c r="D23" s="5">
        <v>70.0</v>
      </c>
      <c r="E23" s="13">
        <v>672000.0</v>
      </c>
      <c r="F23" s="5">
        <v>40.0</v>
      </c>
      <c r="G23" s="13">
        <v>384000.0</v>
      </c>
      <c r="H23" s="2"/>
      <c r="I23" s="24"/>
      <c r="J23" s="4">
        <v>110.0</v>
      </c>
      <c r="K23" s="17">
        <v>1056000.0</v>
      </c>
    </row>
    <row r="24">
      <c r="A24" s="11">
        <v>45809.0</v>
      </c>
      <c r="B24" s="2"/>
      <c r="C24" s="24"/>
      <c r="D24" s="2"/>
      <c r="E24" s="24"/>
      <c r="F24" s="5">
        <v>4.0</v>
      </c>
      <c r="G24" s="13">
        <v>38400.0</v>
      </c>
      <c r="H24" s="5">
        <v>20.0</v>
      </c>
      <c r="I24" s="13">
        <v>192000.0</v>
      </c>
      <c r="J24" s="4">
        <v>24.0</v>
      </c>
      <c r="K24" s="17">
        <v>230400.0</v>
      </c>
    </row>
    <row r="25">
      <c r="A25" s="11">
        <v>45839.0</v>
      </c>
      <c r="B25" s="2"/>
      <c r="C25" s="24"/>
      <c r="D25" s="5">
        <v>48.0</v>
      </c>
      <c r="E25" s="13">
        <v>460800.0</v>
      </c>
      <c r="F25" s="5">
        <v>2.0</v>
      </c>
      <c r="G25" s="13">
        <v>19200.0</v>
      </c>
      <c r="H25" s="2"/>
      <c r="I25" s="24"/>
      <c r="J25" s="4">
        <v>50.0</v>
      </c>
      <c r="K25" s="17">
        <v>480000.0</v>
      </c>
    </row>
    <row r="26">
      <c r="A26" s="11">
        <v>45870.0</v>
      </c>
      <c r="B26" s="2"/>
      <c r="C26" s="24"/>
      <c r="D26" s="2"/>
      <c r="E26" s="24"/>
      <c r="F26" s="5">
        <v>2.0</v>
      </c>
      <c r="G26" s="13">
        <v>19200.0</v>
      </c>
      <c r="H26" s="2"/>
      <c r="I26" s="24"/>
      <c r="J26" s="4">
        <v>2.0</v>
      </c>
      <c r="K26" s="17">
        <v>19200.0</v>
      </c>
    </row>
    <row r="27">
      <c r="A27" s="11">
        <v>45901.0</v>
      </c>
      <c r="B27" s="2"/>
      <c r="C27" s="24"/>
      <c r="D27" s="5">
        <v>50.0</v>
      </c>
      <c r="E27" s="13">
        <v>480000.0</v>
      </c>
      <c r="F27" s="5">
        <v>20.0</v>
      </c>
      <c r="G27" s="13">
        <v>192000.0</v>
      </c>
      <c r="H27" s="2"/>
      <c r="I27" s="24"/>
      <c r="J27" s="4">
        <v>70.0</v>
      </c>
      <c r="K27" s="17">
        <v>672000.0</v>
      </c>
    </row>
    <row r="28">
      <c r="A28" s="11">
        <v>45931.0</v>
      </c>
      <c r="B28" s="5">
        <v>1.0</v>
      </c>
      <c r="C28" s="13">
        <v>9600.0</v>
      </c>
      <c r="D28" s="5">
        <v>40.0</v>
      </c>
      <c r="E28" s="13">
        <v>384000.0</v>
      </c>
      <c r="F28" s="2"/>
      <c r="G28" s="24"/>
      <c r="H28" s="2"/>
      <c r="I28" s="24"/>
      <c r="J28" s="4">
        <v>41.0</v>
      </c>
      <c r="K28" s="17">
        <v>393600.0</v>
      </c>
    </row>
    <row r="29">
      <c r="A29" s="11">
        <v>45962.0</v>
      </c>
      <c r="B29" s="5">
        <v>3.0</v>
      </c>
      <c r="C29" s="13">
        <v>28800.0</v>
      </c>
      <c r="D29" s="2"/>
      <c r="E29" s="24"/>
      <c r="F29" s="5">
        <v>2.0</v>
      </c>
      <c r="G29" s="13">
        <v>19200.0</v>
      </c>
      <c r="H29" s="2"/>
      <c r="I29" s="24"/>
      <c r="J29" s="4">
        <v>5.0</v>
      </c>
      <c r="K29" s="17">
        <v>48000.0</v>
      </c>
    </row>
    <row r="30">
      <c r="A30" s="11">
        <v>45992.0</v>
      </c>
      <c r="B30" s="5">
        <v>1.0</v>
      </c>
      <c r="C30" s="13">
        <v>9600.0</v>
      </c>
      <c r="D30" s="2"/>
      <c r="E30" s="24"/>
      <c r="F30" s="2"/>
      <c r="G30" s="24"/>
      <c r="H30" s="2"/>
      <c r="I30" s="24"/>
      <c r="J30" s="4">
        <v>1.0</v>
      </c>
      <c r="K30" s="17">
        <v>9600.0</v>
      </c>
    </row>
    <row r="31">
      <c r="A31" s="8" t="s">
        <v>7</v>
      </c>
      <c r="B31" s="9">
        <f t="shared" ref="B31:K31" si="5">SUM(B22:B30)</f>
        <v>15</v>
      </c>
      <c r="C31" s="28">
        <f t="shared" si="5"/>
        <v>144000</v>
      </c>
      <c r="D31" s="9">
        <f t="shared" si="5"/>
        <v>208</v>
      </c>
      <c r="E31" s="28">
        <f t="shared" si="5"/>
        <v>1996800</v>
      </c>
      <c r="F31" s="9">
        <f t="shared" si="5"/>
        <v>80</v>
      </c>
      <c r="G31" s="28">
        <f t="shared" si="5"/>
        <v>768000</v>
      </c>
      <c r="H31" s="9">
        <f t="shared" si="5"/>
        <v>30</v>
      </c>
      <c r="I31" s="28">
        <f t="shared" si="5"/>
        <v>288000</v>
      </c>
      <c r="J31" s="9">
        <f t="shared" si="5"/>
        <v>333</v>
      </c>
      <c r="K31" s="28">
        <f t="shared" si="5"/>
        <v>3196800</v>
      </c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5.63"/>
    <col customWidth="1" min="5" max="5" width="18.5"/>
  </cols>
  <sheetData>
    <row r="1">
      <c r="A1" s="1" t="s">
        <v>23</v>
      </c>
    </row>
    <row r="2">
      <c r="G2" s="6" t="s">
        <v>1</v>
      </c>
    </row>
    <row r="3">
      <c r="A3" s="7"/>
      <c r="B3" s="8" t="s">
        <v>13</v>
      </c>
      <c r="C3" s="8" t="s">
        <v>7</v>
      </c>
      <c r="D3" s="9" t="s">
        <v>4</v>
      </c>
      <c r="E3" s="9" t="s">
        <v>18</v>
      </c>
      <c r="G3" s="10" t="s">
        <v>6</v>
      </c>
    </row>
    <row r="4">
      <c r="A4" s="11">
        <v>45748.0</v>
      </c>
      <c r="B4" s="4">
        <v>20.0</v>
      </c>
      <c r="C4" s="17">
        <v>480000.0</v>
      </c>
      <c r="D4" s="14">
        <f t="shared" ref="D4:D11" si="1">C4/B4</f>
        <v>24000</v>
      </c>
      <c r="E4" s="14">
        <f t="shared" ref="E4:E12" si="2">D4/12</f>
        <v>2000</v>
      </c>
      <c r="G4" s="15">
        <v>1720.0</v>
      </c>
    </row>
    <row r="5">
      <c r="A5" s="11">
        <v>45778.0</v>
      </c>
      <c r="B5" s="4">
        <v>15.0</v>
      </c>
      <c r="C5" s="17">
        <v>360000.0</v>
      </c>
      <c r="D5" s="14">
        <f t="shared" si="1"/>
        <v>24000</v>
      </c>
      <c r="E5" s="14">
        <f t="shared" si="2"/>
        <v>2000</v>
      </c>
      <c r="G5" s="15">
        <v>1720.0</v>
      </c>
    </row>
    <row r="6">
      <c r="A6" s="11">
        <v>45809.0</v>
      </c>
      <c r="B6" s="4">
        <v>23.0</v>
      </c>
      <c r="C6" s="17">
        <v>553000.0</v>
      </c>
      <c r="D6" s="14">
        <f t="shared" si="1"/>
        <v>24043.47826</v>
      </c>
      <c r="E6" s="14">
        <f t="shared" si="2"/>
        <v>2003.623188</v>
      </c>
      <c r="G6" s="15">
        <v>1745.0</v>
      </c>
    </row>
    <row r="7">
      <c r="A7" s="11">
        <v>45839.0</v>
      </c>
      <c r="B7" s="4">
        <v>22.0</v>
      </c>
      <c r="C7" s="17">
        <v>530000.0</v>
      </c>
      <c r="D7" s="14">
        <f t="shared" si="1"/>
        <v>24090.90909</v>
      </c>
      <c r="E7" s="14">
        <f t="shared" si="2"/>
        <v>2007.575758</v>
      </c>
      <c r="G7" s="15">
        <v>1750.0</v>
      </c>
    </row>
    <row r="8">
      <c r="A8" s="11">
        <v>45870.0</v>
      </c>
      <c r="B8" s="4">
        <v>2.0</v>
      </c>
      <c r="C8" s="17">
        <v>48000.0</v>
      </c>
      <c r="D8" s="14">
        <f t="shared" si="1"/>
        <v>24000</v>
      </c>
      <c r="E8" s="14">
        <f t="shared" si="2"/>
        <v>2000</v>
      </c>
      <c r="G8" s="15">
        <v>1670.0</v>
      </c>
    </row>
    <row r="9">
      <c r="A9" s="11">
        <v>45901.0</v>
      </c>
      <c r="B9" s="4">
        <v>10.0</v>
      </c>
      <c r="C9" s="17">
        <v>240000.0</v>
      </c>
      <c r="D9" s="14">
        <f t="shared" si="1"/>
        <v>24000</v>
      </c>
      <c r="E9" s="14">
        <f t="shared" si="2"/>
        <v>2000</v>
      </c>
      <c r="G9" s="15">
        <v>1067.0</v>
      </c>
    </row>
    <row r="10">
      <c r="A10" s="11">
        <v>45931.0</v>
      </c>
      <c r="B10" s="4">
        <v>1.0</v>
      </c>
      <c r="C10" s="17">
        <v>24000.0</v>
      </c>
      <c r="D10" s="14">
        <f t="shared" si="1"/>
        <v>24000</v>
      </c>
      <c r="E10" s="14">
        <f t="shared" si="2"/>
        <v>2000</v>
      </c>
      <c r="G10" s="15">
        <v>1187.0</v>
      </c>
    </row>
    <row r="11">
      <c r="A11" s="11">
        <v>45962.0</v>
      </c>
      <c r="B11" s="16">
        <v>8.083333333</v>
      </c>
      <c r="C11" s="17">
        <v>193800.0</v>
      </c>
      <c r="D11" s="14">
        <f t="shared" si="1"/>
        <v>23975.25773</v>
      </c>
      <c r="E11" s="14">
        <f t="shared" si="2"/>
        <v>1997.938144</v>
      </c>
      <c r="G11" s="15">
        <v>1220.0</v>
      </c>
    </row>
    <row r="12">
      <c r="A12" s="11">
        <v>45992.0</v>
      </c>
      <c r="B12" s="5">
        <v>0.0</v>
      </c>
      <c r="C12" s="13">
        <v>0.0</v>
      </c>
      <c r="D12" s="15">
        <v>0.0</v>
      </c>
      <c r="E12" s="36">
        <f t="shared" si="2"/>
        <v>0</v>
      </c>
      <c r="G12" s="15">
        <v>1239.0</v>
      </c>
    </row>
    <row r="13">
      <c r="A13" s="8" t="s">
        <v>7</v>
      </c>
      <c r="B13" s="37">
        <f t="shared" ref="B13:C13" si="3">SUM(B4:B12)</f>
        <v>101.0833333</v>
      </c>
      <c r="C13" s="17">
        <f t="shared" si="3"/>
        <v>2428800</v>
      </c>
      <c r="D13" s="18">
        <f t="shared" ref="D13:E13" si="4">AVERAGE(D4:D11)</f>
        <v>24013.70564</v>
      </c>
      <c r="E13" s="18">
        <f t="shared" si="4"/>
        <v>2001.142136</v>
      </c>
      <c r="G13" s="19">
        <f>AVERAGE(G4:G12)</f>
        <v>1479.777778</v>
      </c>
    </row>
    <row r="20">
      <c r="A20" s="20"/>
      <c r="B20" s="8" t="s">
        <v>8</v>
      </c>
      <c r="C20" s="38"/>
      <c r="D20" s="8" t="s">
        <v>9</v>
      </c>
      <c r="E20" s="38"/>
      <c r="F20" s="8" t="s">
        <v>19</v>
      </c>
      <c r="G20" s="38"/>
      <c r="H20" s="8" t="s">
        <v>20</v>
      </c>
      <c r="I20" s="38"/>
      <c r="J20" s="38"/>
      <c r="K20" s="38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39"/>
      <c r="B21" s="8" t="s">
        <v>13</v>
      </c>
      <c r="C21" s="40" t="s">
        <v>7</v>
      </c>
      <c r="D21" s="8" t="s">
        <v>13</v>
      </c>
      <c r="E21" s="40" t="s">
        <v>7</v>
      </c>
      <c r="F21" s="8" t="s">
        <v>13</v>
      </c>
      <c r="G21" s="40" t="s">
        <v>7</v>
      </c>
      <c r="H21" s="8" t="s">
        <v>13</v>
      </c>
      <c r="I21" s="40" t="s">
        <v>7</v>
      </c>
      <c r="J21" s="8" t="s">
        <v>13</v>
      </c>
      <c r="K21" s="40" t="s">
        <v>7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1">
        <v>45748.0</v>
      </c>
      <c r="B22" s="41">
        <v>10.0</v>
      </c>
      <c r="C22" s="13">
        <v>240000.0</v>
      </c>
      <c r="D22" s="42"/>
      <c r="E22" s="24"/>
      <c r="F22" s="42"/>
      <c r="G22" s="24"/>
      <c r="H22" s="41">
        <v>10.0</v>
      </c>
      <c r="I22" s="13">
        <v>240000.0</v>
      </c>
      <c r="J22" s="37">
        <v>20.0</v>
      </c>
      <c r="K22" s="17">
        <v>480000.0</v>
      </c>
    </row>
    <row r="23">
      <c r="A23" s="11">
        <v>45778.0</v>
      </c>
      <c r="B23" s="42"/>
      <c r="C23" s="24"/>
      <c r="D23" s="42"/>
      <c r="E23" s="24"/>
      <c r="F23" s="41">
        <v>15.0</v>
      </c>
      <c r="G23" s="13">
        <v>360000.0</v>
      </c>
      <c r="H23" s="42"/>
      <c r="I23" s="24"/>
      <c r="J23" s="37">
        <v>15.0</v>
      </c>
      <c r="K23" s="17">
        <v>360000.0</v>
      </c>
    </row>
    <row r="24">
      <c r="A24" s="11">
        <v>45809.0</v>
      </c>
      <c r="B24" s="42"/>
      <c r="C24" s="24"/>
      <c r="D24" s="42"/>
      <c r="E24" s="24"/>
      <c r="F24" s="41">
        <v>3.0</v>
      </c>
      <c r="G24" s="13">
        <v>73000.0</v>
      </c>
      <c r="H24" s="41">
        <v>20.0</v>
      </c>
      <c r="I24" s="13">
        <v>480000.0</v>
      </c>
      <c r="J24" s="37">
        <v>23.0</v>
      </c>
      <c r="K24" s="17">
        <v>553000.0</v>
      </c>
    </row>
    <row r="25">
      <c r="A25" s="11">
        <v>45839.0</v>
      </c>
      <c r="B25" s="42"/>
      <c r="C25" s="24"/>
      <c r="D25" s="41">
        <v>20.0</v>
      </c>
      <c r="E25" s="13">
        <v>480000.0</v>
      </c>
      <c r="F25" s="41">
        <v>2.0</v>
      </c>
      <c r="G25" s="13">
        <v>50000.0</v>
      </c>
      <c r="H25" s="42"/>
      <c r="I25" s="24"/>
      <c r="J25" s="37">
        <v>22.0</v>
      </c>
      <c r="K25" s="17">
        <v>530000.0</v>
      </c>
    </row>
    <row r="26">
      <c r="A26" s="11">
        <v>45870.0</v>
      </c>
      <c r="B26" s="42"/>
      <c r="C26" s="24"/>
      <c r="D26" s="42"/>
      <c r="E26" s="24"/>
      <c r="F26" s="41">
        <v>2.0</v>
      </c>
      <c r="G26" s="13">
        <v>48000.0</v>
      </c>
      <c r="H26" s="42"/>
      <c r="I26" s="24"/>
      <c r="J26" s="37">
        <v>2.0</v>
      </c>
      <c r="K26" s="17">
        <v>48000.0</v>
      </c>
    </row>
    <row r="27">
      <c r="A27" s="11">
        <v>45901.0</v>
      </c>
      <c r="B27" s="42"/>
      <c r="C27" s="24"/>
      <c r="D27" s="42"/>
      <c r="E27" s="24"/>
      <c r="F27" s="41">
        <v>10.0</v>
      </c>
      <c r="G27" s="13">
        <v>240000.0</v>
      </c>
      <c r="H27" s="42"/>
      <c r="I27" s="24"/>
      <c r="J27" s="37">
        <v>10.0</v>
      </c>
      <c r="K27" s="17">
        <v>240000.0</v>
      </c>
    </row>
    <row r="28">
      <c r="A28" s="11">
        <v>45931.0</v>
      </c>
      <c r="B28" s="41">
        <v>1.0</v>
      </c>
      <c r="C28" s="13">
        <v>24000.0</v>
      </c>
      <c r="D28" s="42"/>
      <c r="E28" s="24"/>
      <c r="F28" s="42"/>
      <c r="G28" s="24"/>
      <c r="H28" s="42"/>
      <c r="I28" s="24"/>
      <c r="J28" s="37">
        <v>1.0</v>
      </c>
      <c r="K28" s="17">
        <v>24000.0</v>
      </c>
    </row>
    <row r="29">
      <c r="A29" s="11">
        <v>45962.0</v>
      </c>
      <c r="B29" s="41">
        <v>3.083333333</v>
      </c>
      <c r="C29" s="13">
        <v>73800.0</v>
      </c>
      <c r="D29" s="42"/>
      <c r="E29" s="24"/>
      <c r="F29" s="41">
        <v>5.0</v>
      </c>
      <c r="G29" s="13">
        <v>120000.0</v>
      </c>
      <c r="H29" s="42"/>
      <c r="I29" s="24"/>
      <c r="J29" s="37">
        <v>8.083333333</v>
      </c>
      <c r="K29" s="17">
        <v>193800.0</v>
      </c>
    </row>
    <row r="30">
      <c r="A30" s="26" t="s">
        <v>7</v>
      </c>
      <c r="B30" s="37">
        <f t="shared" ref="B30:D30" si="5">SUM(B22:B29)</f>
        <v>14.08333333</v>
      </c>
      <c r="C30" s="17">
        <f t="shared" si="5"/>
        <v>337800</v>
      </c>
      <c r="D30" s="37">
        <f t="shared" si="5"/>
        <v>20</v>
      </c>
      <c r="E30" s="17">
        <v>480000.0</v>
      </c>
      <c r="F30" s="37">
        <f>SUM(F22:F29)</f>
        <v>37</v>
      </c>
      <c r="G30" s="17">
        <v>891000.0</v>
      </c>
      <c r="H30" s="37">
        <f>SUM(H22:H29)</f>
        <v>30</v>
      </c>
      <c r="I30" s="17">
        <v>720000.0</v>
      </c>
      <c r="J30" s="37">
        <f>SUM(J22:J29)</f>
        <v>101.0833333</v>
      </c>
      <c r="K30" s="17">
        <v>2428800.0</v>
      </c>
    </row>
  </sheetData>
  <mergeCells count="1">
    <mergeCell ref="A1:E1"/>
  </mergeCells>
  <drawing r:id="rId1"/>
</worksheet>
</file>